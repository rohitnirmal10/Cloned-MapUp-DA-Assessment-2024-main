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Downloads\MapUp-DA-Assessment-2024-main\MapUp-DA-Assessment-2024-main\"/>
    </mc:Choice>
  </mc:AlternateContent>
  <xr:revisionPtr revIDLastSave="0" documentId="13_ncr:1_{48D78884-A22B-463C-B9A8-E1DEA2777B3F}" xr6:coauthVersionLast="47" xr6:coauthVersionMax="47" xr10:uidLastSave="{00000000-0000-0000-0000-000000000000}"/>
  <bookViews>
    <workbookView xWindow="-120" yWindow="-120" windowWidth="29040" windowHeight="1572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_xleta.INDEX" hidden="1" xlm="1">#NAME?</definedName>
    <definedName name="_xleta.MATCH" hidden="1" xlm="1">#NAME?</definedName>
    <definedName name="_xleta.VLOOKUP" hidden="1" xlm="1">#NAME?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C6" i="18"/>
  <c r="D6" i="18"/>
  <c r="E6" i="18"/>
  <c r="F6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AK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<sst xmlns="http://schemas.openxmlformats.org/spreadsheetml/2006/main" count="410" uniqueCount="186">
  <si>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</si>
  <si>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</si>
  <si>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</si>
  <si>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</si>
  <si>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</si>
  <si>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</si>
  <si>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</si>
  <si>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</si>
  <si>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</si>
  <si>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</si>
  <si>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</si>
  <si>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</si>
  <si>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</si>
  <si>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</si>
  <si>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</si>
  <si>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</si>
  <si>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</si>
  <si>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</si>
  <si>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</si>
  <si>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</si>
  <si>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</si>
  <si>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</si>
  <si>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</si>
  <si>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</si>
  <si>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</si>
  <si>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</si>
  <si>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</si>
  <si>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</si>
  <si>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</si>
  <si>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</si>
  <si>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</si>
  <si>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</si>
  <si>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</si>
  <si>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</si>
  <si>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</si>
  <si>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</si>
  <si>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</si>
  <si>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</si>
  <si>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</si>
  <si>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</si>
  <si>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</si>
  <si>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</si>
  <si>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</si>
  <si>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</si>
  <si>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</si>
  <si>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</si>
  <si>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</si>
  <si>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</si>
  <si>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</si>
  <si>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</si>
  <si>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</si>
  <si>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</si>
  <si>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</si>
  <si>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</si>
  <si>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</si>
  <si>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</si>
  <si>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</si>
  <si>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</si>
  <si>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</si>
  <si>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</si>
  <si>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</si>
  <si>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</si>
  <si>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</si>
  <si>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</si>
  <si>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</si>
  <si>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</si>
  <si>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</si>
  <si>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</si>
  <si>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</si>
  <si>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</si>
  <si>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</si>
  <si>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</si>
  <si>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</si>
  <si>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</si>
  <si>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</si>
  <si>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</si>
  <si>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</si>
  <si>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</si>
  <si>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</si>
  <si>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</si>
  <si>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</si>
  <si>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</si>
  <si>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</si>
  <si>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</si>
  <si>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</si>
  <si>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</si>
  <si>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</si>
  <si>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</si>
  <si>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</si>
  <si>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</si>
  <si>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</si>
  <si>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</si>
  <si>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</si>
  <si>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</si>
  <si>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</si>
  <si>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</si>
  <si>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</si>
  <si>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</si>
  <si>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</si>
  <si>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</si>
  <si>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</si>
  <si>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</si>
  <si>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</si>
  <si>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</si>
  <si>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</si>
  <si>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</si>
  <si>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</si>
  <si>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</si>
  <si>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</si>
  <si>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</si>
  <si>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</si>
  <si>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</si>
  <si>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</si>
  <si>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</si>
  <si>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</si>
  <si>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</si>
  <si>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</si>
  <si>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</si>
  <si>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</si>
  <si>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</si>
  <si>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</si>
  <si>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</si>
  <si>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</si>
  <si>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</si>
  <si>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</si>
  <si>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</si>
  <si>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</si>
  <si>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</si>
  <si>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</si>
  <si>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</si>
  <si>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</si>
  <si>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</si>
  <si>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</si>
  <si>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</si>
  <si>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</si>
  <si>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</si>
  <si>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</si>
  <si>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</si>
  <si>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</si>
  <si>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</si>
  <si>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</si>
  <si>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</si>
  <si>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</si>
  <si>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</si>
  <si>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</si>
  <si>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</si>
  <si>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</si>
  <si>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</si>
  <si>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</si>
  <si>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</si>
  <si>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</si>
  <si>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</si>
  <si>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</si>
  <si>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</si>
  <si>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</si>
  <si>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</si>
  <si>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</si>
  <si>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</si>
  <si>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</si>
  <si>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</si>
  <si>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</si>
  <si>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</si>
  <si>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</si>
  <si>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</si>
  <si>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</si>
  <si>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</si>
  <si>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</si>
  <si>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</si>
  <si>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</si>
  <si>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</si>
  <si>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</si>
  <si>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</si>
  <si>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</si>
  <si>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</si>
  <si>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</si>
  <si>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</si>
  <si>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</si>
  <si>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Format cell&gt;&gt;Custom&gt;&gt;YYYY-MM-DD</t>
  </si>
  <si>
    <t>Freeze panes</t>
  </si>
  <si>
    <t>I used index match, instead of Vlookup</t>
  </si>
  <si>
    <t>Delimited</t>
  </si>
  <si>
    <t xml:space="preserve">I started by selecting the range of data from row 15 to row 54 in column A, I went to the Data tab and clicked on Text to Columns, In the dialog box, I selected Delimited since my data had a specific separator (the hyphen). Then, I chose Other as the delimiter and entered a hyphen (-). This indicated to Excel that the data should be split wherever it found a hyphen. After setting the delimiter, I pressed Finish, and Excel automatically split the data from column A into five separate columns. </t>
  </si>
  <si>
    <t>I used the `SUM` formula with `IFERROR` to replace any `#N/A` values with `20` and then calculated the total sum of sales in Table_A.</t>
  </si>
  <si>
    <t xml:space="preserve">I used the formula =SUM(IFERROR(C12:C21,20)) in the cell C22 to calculate the sum of numbers in column C from rows 12 to 21, replacing NA values with 20. This allowed me to get the total sum without error affecting the calculation. </t>
  </si>
  <si>
    <t xml:space="preserve"> =INDEX($B$10:$J$18,MATCH(VLOOKUP(A23,$M$9:$N$18,2,0),$A$10:$A$18,0),MATCH(VLOOKUP(B23,$M$9:$N$18,2,0),$B$9:$J$9,0))</t>
  </si>
  <si>
    <t>For Task 5, I used the INDEX and MATCH functions. First, I retrieved the names corresponding to the IDs from Table C by using VLOOKUP with the help of Table B. Then, I used the MATCH function to find the names from Table C in Table A. Finally, I applied the INDEX function to extract and fill in the corresponding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</si>
</sst>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166" fontId="0" fillId="0" borderId="0" xfId="0" applyNumberFormat="1"/>
    <xf numFmtId="2" fontId="3" fillId="5" borderId="1" xfId="0" applyNumberFormat="1" applyFont="1" applyFill="1" applyBorder="1"/>
    <xf numFmtId="0" fontId="18" fillId="0" borderId="0" xfId="0" applyFont="1" applyAlignment="1">
      <alignment vertical="center"/>
    </xf>
    <xf numFmtId="0" fontId="8" fillId="0" borderId="8" xfId="0" applyFont="1" applyBorder="1"/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8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5" t="s">
        <v>170</v>
      </c>
      <c r="B9" s="25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K40"/>
  <sheetViews>
    <sheetView zoomScaleNormal="100" workbookViewId="0">
      <pane ySplit="1" topLeftCell="A5" activePane="bottomLeft" state="frozen"/>
      <selection pane="bottomLeft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bestFit="1" customWidth="1"/>
    <col min="7" max="9" width="12.83203125" bestFit="1" customWidth="1"/>
    <col min="10" max="12" width="13" bestFit="1" customWidth="1"/>
    <col min="13" max="15" width="14.1640625" bestFit="1" customWidth="1"/>
    <col min="16" max="18" width="14.33203125" bestFit="1" customWidth="1"/>
    <col min="19" max="20" width="18.83203125" bestFit="1" customWidth="1"/>
    <col min="21" max="23" width="19" bestFit="1" customWidth="1"/>
    <col min="24" max="24" width="12.6640625" style="46" bestFit="1" customWidth="1"/>
    <col min="35" max="35" width="9" style="1"/>
    <col min="36" max="36" width="10" style="1" customWidth="1"/>
    <col min="37" max="37" width="16.33203125" style="1" customWidth="1"/>
    <col min="38" max="16384" width="9" style="1"/>
  </cols>
  <sheetData>
    <row r="1" spans="1:37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37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7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7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  <c r="Y4" s="1"/>
      <c r="Z4" s="1"/>
      <c r="AA4" s="1"/>
      <c r="AB4" s="1"/>
      <c r="AC4" s="1"/>
      <c r="AD4" s="50" t="s">
        <v>104</v>
      </c>
      <c r="AE4" s="50"/>
      <c r="AF4" s="50"/>
      <c r="AG4" s="50"/>
      <c r="AH4" s="50"/>
      <c r="AI4" s="50"/>
      <c r="AJ4" s="50"/>
      <c r="AK4" s="1">
        <f>SUMIF(H:H,"&gt;20")</f>
        <v>1473.0000000000002</v>
      </c>
    </row>
    <row r="5" spans="1:37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7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7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7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7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7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7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7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7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7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7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7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1:24" s="1" customFormat="1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s="1" customFormat="1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s="1" customFormat="1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s="1" customFormat="1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s="1" customFormat="1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s="1" customFormat="1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s="1" customFormat="1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s="1" customFormat="1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s="1" customFormat="1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s="1" customFormat="1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s="1" customFormat="1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s="1" customFormat="1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s="1" customFormat="1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s="1" customFormat="1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s="1" customFormat="1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s="1" customFormat="1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s="1" customFormat="1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s="1" customFormat="1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s="1" customFormat="1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s="1" customFormat="1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s="1" customFormat="1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s="1" customFormat="1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s="1" customFormat="1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s="1" customFormat="1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mergeCells count="1">
    <mergeCell ref="AD4:AJ4"/>
  </mergeCells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E6" sqref="E6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27.6640625" style="1" bestFit="1" customWidth="1"/>
    <col min="4" max="4" width="11" style="1"/>
    <col min="5" max="5" width="16.16406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 t="s">
        <v>178</v>
      </c>
      <c r="E4" s="1">
        <v>5</v>
      </c>
    </row>
    <row r="5" spans="1:5" x14ac:dyDescent="0.25">
      <c r="A5" s="6">
        <v>3</v>
      </c>
      <c r="B5" s="2" t="s">
        <v>104</v>
      </c>
      <c r="C5" s="33">
        <f>SUMIF(Dataset!H:H,"&gt;20")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 t="s">
        <v>177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J30"/>
  <sheetViews>
    <sheetView zoomScaleNormal="100" workbookViewId="0"/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10" s="40" customFormat="1" ht="21" x14ac:dyDescent="0.35">
      <c r="A1" s="41" t="s">
        <v>55</v>
      </c>
      <c r="B1" s="40" t="s">
        <v>163</v>
      </c>
    </row>
    <row r="2" spans="1:10" s="40" customFormat="1" ht="21" x14ac:dyDescent="0.35">
      <c r="B2" s="40" t="s">
        <v>160</v>
      </c>
    </row>
    <row r="3" spans="1:10" ht="15" x14ac:dyDescent="0.25">
      <c r="A3" s="1"/>
      <c r="B3" s="1"/>
      <c r="C3" s="1"/>
      <c r="D3" s="1"/>
      <c r="E3" s="1"/>
      <c r="F3" s="1"/>
      <c r="G3" s="1"/>
    </row>
    <row r="4" spans="1:10" ht="23.25" x14ac:dyDescent="0.35">
      <c r="A4" s="17" t="s">
        <v>161</v>
      </c>
      <c r="B4" s="1"/>
      <c r="C4" s="1"/>
      <c r="D4" s="1"/>
      <c r="E4" s="1"/>
      <c r="F4" s="1"/>
      <c r="G4" s="1"/>
    </row>
    <row r="5" spans="1:10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10" ht="15" x14ac:dyDescent="0.25">
      <c r="A6" s="7" t="s">
        <v>40</v>
      </c>
      <c r="B6" s="11">
        <f>INDEX(Dataset!$A:$X,MATCH($A6,Dataset!$A:$A,0),MATCH(B$5,Dataset!$1:$1,0))</f>
        <v>2.7</v>
      </c>
      <c r="C6" s="11">
        <f>INDEX(Dataset!$A:$X,MATCH($A6,Dataset!$A:$A,0),MATCH(C$5,Dataset!$1:$1,0))</f>
        <v>7.6</v>
      </c>
      <c r="D6" s="11">
        <f>INDEX(Dataset!$A:$X,MATCH($A6,Dataset!$A:$A,0),MATCH(D$5,Dataset!$1:$1,0))</f>
        <v>4.2</v>
      </c>
      <c r="E6" s="11">
        <f>INDEX(Dataset!$A:$X,MATCH($A6,Dataset!$A:$A,0),MATCH(E$5,Dataset!$1:$1,0))</f>
        <v>8.9</v>
      </c>
      <c r="F6" s="11">
        <f>INDEX(Dataset!$A:$X,MATCH($A6,Dataset!$A:$A,0),MATCH(F$5,Dataset!$1:$1,0))</f>
        <v>4.2</v>
      </c>
      <c r="J6" s="2" t="s">
        <v>179</v>
      </c>
    </row>
    <row r="7" spans="1:10" ht="15" x14ac:dyDescent="0.25">
      <c r="A7" s="7" t="s">
        <v>4</v>
      </c>
      <c r="B7" s="11">
        <f>INDEX(Dataset!$A:$X,MATCH($A7,Dataset!$A:$A,0),MATCH(B$5,Dataset!$1:$1,0))</f>
        <v>2.7</v>
      </c>
      <c r="C7" s="11">
        <f>INDEX(Dataset!$A:$X,MATCH($A7,Dataset!$A:$A,0),MATCH(C$5,Dataset!$1:$1,0))</f>
        <v>7.6</v>
      </c>
      <c r="D7" s="11">
        <f>INDEX(Dataset!$A:$X,MATCH($A7,Dataset!$A:$A,0),MATCH(D$5,Dataset!$1:$1,0))</f>
        <v>4.2</v>
      </c>
      <c r="E7" s="11">
        <f>INDEX(Dataset!$A:$X,MATCH($A7,Dataset!$A:$A,0),MATCH(E$5,Dataset!$1:$1,0))</f>
        <v>8.9</v>
      </c>
      <c r="F7" s="11">
        <f>INDEX(Dataset!$A:$X,MATCH($A7,Dataset!$A:$A,0),MATCH(F$5,Dataset!$1:$1,0))</f>
        <v>4.2</v>
      </c>
    </row>
    <row r="8" spans="1:10" ht="15" x14ac:dyDescent="0.25">
      <c r="A8" s="7" t="s">
        <v>7</v>
      </c>
      <c r="B8" s="11">
        <f>INDEX(Dataset!$A:$X,MATCH($A8,Dataset!$A:$A,0),MATCH(B$5,Dataset!$1:$1,0))</f>
        <v>3.6</v>
      </c>
      <c r="C8" s="11">
        <f>INDEX(Dataset!$A:$X,MATCH($A8,Dataset!$A:$A,0),MATCH(C$5,Dataset!$1:$1,0))</f>
        <v>11.1</v>
      </c>
      <c r="D8" s="11">
        <f>INDEX(Dataset!$A:$X,MATCH($A8,Dataset!$A:$A,0),MATCH(D$5,Dataset!$1:$1,0))</f>
        <v>5.8</v>
      </c>
      <c r="E8" s="11">
        <f>INDEX(Dataset!$A:$X,MATCH($A8,Dataset!$A:$A,0),MATCH(E$5,Dataset!$1:$1,0))</f>
        <v>12.2</v>
      </c>
      <c r="F8" s="11">
        <f>INDEX(Dataset!$A:$X,MATCH($A8,Dataset!$A:$A,0),MATCH(F$5,Dataset!$1:$1,0))</f>
        <v>5.8</v>
      </c>
    </row>
    <row r="9" spans="1:10" ht="15" x14ac:dyDescent="0.25">
      <c r="A9" s="7" t="s">
        <v>8</v>
      </c>
      <c r="B9" s="11">
        <f>INDEX(Dataset!$A:$X,MATCH($A9,Dataset!$A:$A,0),MATCH(B$5,Dataset!$1:$1,0))</f>
        <v>4.9000000000000004</v>
      </c>
      <c r="C9" s="11">
        <f>INDEX(Dataset!$A:$X,MATCH($A9,Dataset!$A:$A,0),MATCH(C$5,Dataset!$1:$1,0))</f>
        <v>13.3</v>
      </c>
      <c r="D9" s="11">
        <f>INDEX(Dataset!$A:$X,MATCH($A9,Dataset!$A:$A,0),MATCH(D$5,Dataset!$1:$1,0))</f>
        <v>8.1</v>
      </c>
      <c r="E9" s="11">
        <f>INDEX(Dataset!$A:$X,MATCH($A9,Dataset!$A:$A,0),MATCH(E$5,Dataset!$1:$1,0))</f>
        <v>17</v>
      </c>
      <c r="F9" s="11">
        <f>INDEX(Dataset!$A:$X,MATCH($A9,Dataset!$A:$A,0),MATCH(F$5,Dataset!$1:$1,0))</f>
        <v>8.1</v>
      </c>
    </row>
    <row r="10" spans="1:10" ht="15" x14ac:dyDescent="0.25">
      <c r="A10" s="7" t="s">
        <v>11</v>
      </c>
      <c r="B10" s="11">
        <f>INDEX(Dataset!$A:$X,MATCH($A10,Dataset!$A:$A,0),MATCH(B$5,Dataset!$1:$1,0))</f>
        <v>9.4</v>
      </c>
      <c r="C10" s="11">
        <f>INDEX(Dataset!$A:$X,MATCH($A10,Dataset!$A:$A,0),MATCH(C$5,Dataset!$1:$1,0))</f>
        <v>28.3</v>
      </c>
      <c r="D10" s="11">
        <f>INDEX(Dataset!$A:$X,MATCH($A10,Dataset!$A:$A,0),MATCH(D$5,Dataset!$1:$1,0))</f>
        <v>16.100000000000001</v>
      </c>
      <c r="E10" s="11">
        <f>INDEX(Dataset!$A:$X,MATCH($A10,Dataset!$A:$A,0),MATCH(E$5,Dataset!$1:$1,0))</f>
        <v>32.799999999999997</v>
      </c>
      <c r="F10" s="11">
        <f>INDEX(Dataset!$A:$X,MATCH($A10,Dataset!$A:$A,0),MATCH(F$5,Dataset!$1:$1,0))</f>
        <v>16.100000000000001</v>
      </c>
    </row>
    <row r="11" spans="1:10" ht="15" x14ac:dyDescent="0.25">
      <c r="A11" s="7" t="s">
        <v>12</v>
      </c>
      <c r="B11" s="11">
        <f>INDEX(Dataset!$A:$X,MATCH($A11,Dataset!$A:$A,0),MATCH(B$5,Dataset!$1:$1,0))</f>
        <v>11.6</v>
      </c>
      <c r="C11" s="11">
        <f>INDEX(Dataset!$A:$X,MATCH($A11,Dataset!$A:$A,0),MATCH(C$5,Dataset!$1:$1,0))</f>
        <v>35.200000000000003</v>
      </c>
      <c r="D11" s="11">
        <f>INDEX(Dataset!$A:$X,MATCH($A11,Dataset!$A:$A,0),MATCH(D$5,Dataset!$1:$1,0))</f>
        <v>21.3</v>
      </c>
      <c r="E11" s="11">
        <f>INDEX(Dataset!$A:$X,MATCH($A11,Dataset!$A:$A,0),MATCH(E$5,Dataset!$1:$1,0))</f>
        <v>43</v>
      </c>
      <c r="F11" s="11">
        <f>INDEX(Dataset!$A:$X,MATCH($A11,Dataset!$A:$A,0),MATCH(F$5,Dataset!$1:$1,0))</f>
        <v>21.3</v>
      </c>
    </row>
    <row r="12" spans="1:10" ht="15" x14ac:dyDescent="0.25">
      <c r="A12" s="7" t="s">
        <v>14</v>
      </c>
      <c r="B12" s="11">
        <f>INDEX(Dataset!$A:$X,MATCH($A12,Dataset!$A:$A,0),MATCH(B$5,Dataset!$1:$1,0))</f>
        <v>18.399999999999999</v>
      </c>
      <c r="C12" s="11">
        <f>INDEX(Dataset!$A:$X,MATCH($A12,Dataset!$A:$A,0),MATCH(C$5,Dataset!$1:$1,0))</f>
        <v>55.6</v>
      </c>
      <c r="D12" s="11">
        <f>INDEX(Dataset!$A:$X,MATCH($A12,Dataset!$A:$A,0),MATCH(D$5,Dataset!$1:$1,0))</f>
        <v>33.799999999999997</v>
      </c>
      <c r="E12" s="11">
        <f>INDEX(Dataset!$A:$X,MATCH($A12,Dataset!$A:$A,0),MATCH(E$5,Dataset!$1:$1,0))</f>
        <v>67.900000000000006</v>
      </c>
      <c r="F12" s="11">
        <f>INDEX(Dataset!$A:$X,MATCH($A12,Dataset!$A:$A,0),MATCH(F$5,Dataset!$1:$1,0))</f>
        <v>33.799999999999997</v>
      </c>
    </row>
    <row r="13" spans="1:10" ht="15" x14ac:dyDescent="0.25">
      <c r="A13" s="7" t="s">
        <v>15</v>
      </c>
      <c r="B13" s="11">
        <f>INDEX(Dataset!$A:$X,MATCH($A13,Dataset!$A:$A,0),MATCH(B$5,Dataset!$1:$1,0))</f>
        <v>0</v>
      </c>
      <c r="C13" s="11">
        <f>INDEX(Dataset!$A:$X,MATCH($A13,Dataset!$A:$A,0),MATCH(C$5,Dataset!$1:$1,0))</f>
        <v>0</v>
      </c>
      <c r="D13" s="11">
        <f>INDEX(Dataset!$A:$X,MATCH($A13,Dataset!$A:$A,0),MATCH(D$5,Dataset!$1:$1,0))</f>
        <v>0</v>
      </c>
      <c r="E13" s="11">
        <f>INDEX(Dataset!$A:$X,MATCH($A13,Dataset!$A:$A,0),MATCH(E$5,Dataset!$1:$1,0))</f>
        <v>0</v>
      </c>
      <c r="F13" s="11">
        <f>INDEX(Dataset!$A:$X,MATCH($A13,Dataset!$A:$A,0),MATCH(F$5,Dataset!$1:$1,0))</f>
        <v>0</v>
      </c>
    </row>
    <row r="14" spans="1:10" ht="15" x14ac:dyDescent="0.25">
      <c r="A14" s="7" t="s">
        <v>16</v>
      </c>
      <c r="B14" s="11">
        <f>INDEX(Dataset!$A:$X,MATCH($A14,Dataset!$A:$A,0),MATCH(B$5,Dataset!$1:$1,0))</f>
        <v>21.9</v>
      </c>
      <c r="C14" s="11">
        <f>INDEX(Dataset!$A:$X,MATCH($A14,Dataset!$A:$A,0),MATCH(C$5,Dataset!$1:$1,0))</f>
        <v>61.5</v>
      </c>
      <c r="D14" s="11">
        <f>INDEX(Dataset!$A:$X,MATCH($A14,Dataset!$A:$A,0),MATCH(D$5,Dataset!$1:$1,0))</f>
        <v>40.1</v>
      </c>
      <c r="E14" s="11">
        <f>INDEX(Dataset!$A:$X,MATCH($A14,Dataset!$A:$A,0),MATCH(E$5,Dataset!$1:$1,0))</f>
        <v>76.599999999999994</v>
      </c>
      <c r="F14" s="11">
        <f>INDEX(Dataset!$A:$X,MATCH($A14,Dataset!$A:$A,0),MATCH(F$5,Dataset!$1:$1,0))</f>
        <v>40.1</v>
      </c>
    </row>
    <row r="15" spans="1:10" ht="15" x14ac:dyDescent="0.25">
      <c r="A15" s="7" t="s">
        <v>18</v>
      </c>
      <c r="B15" s="11">
        <f>INDEX(Dataset!$A:$X,MATCH($A15,Dataset!$A:$A,0),MATCH(B$5,Dataset!$1:$1,0))</f>
        <v>26.8</v>
      </c>
      <c r="C15" s="11">
        <f>INDEX(Dataset!$A:$X,MATCH($A15,Dataset!$A:$A,0),MATCH(C$5,Dataset!$1:$1,0))</f>
        <v>79.599999999999994</v>
      </c>
      <c r="D15" s="11">
        <f>INDEX(Dataset!$A:$X,MATCH($A15,Dataset!$A:$A,0),MATCH(D$5,Dataset!$1:$1,0))</f>
        <v>47.9</v>
      </c>
      <c r="E15" s="11">
        <f>INDEX(Dataset!$A:$X,MATCH($A15,Dataset!$A:$A,0),MATCH(E$5,Dataset!$1:$1,0))</f>
        <v>96.8</v>
      </c>
      <c r="F15" s="11">
        <f>INDEX(Dataset!$A:$X,MATCH($A15,Dataset!$A:$A,0),MATCH(F$5,Dataset!$1:$1,0))</f>
        <v>47.9</v>
      </c>
    </row>
    <row r="16" spans="1:10" ht="15" x14ac:dyDescent="0.25">
      <c r="A16" s="7" t="s">
        <v>20</v>
      </c>
      <c r="B16" s="11">
        <f>INDEX(Dataset!$A:$X,MATCH($A16,Dataset!$A:$A,0),MATCH(B$5,Dataset!$1:$1,0))</f>
        <v>28.5</v>
      </c>
      <c r="C16" s="11">
        <f>INDEX(Dataset!$A:$X,MATCH($A16,Dataset!$A:$A,0),MATCH(C$5,Dataset!$1:$1,0))</f>
        <v>85.4</v>
      </c>
      <c r="D16" s="11">
        <f>INDEX(Dataset!$A:$X,MATCH($A16,Dataset!$A:$A,0),MATCH(D$5,Dataset!$1:$1,0))</f>
        <v>52.3</v>
      </c>
      <c r="E16" s="11">
        <f>INDEX(Dataset!$A:$X,MATCH($A16,Dataset!$A:$A,0),MATCH(E$5,Dataset!$1:$1,0))</f>
        <v>106.1</v>
      </c>
      <c r="F16" s="11">
        <f>INDEX(Dataset!$A:$X,MATCH($A16,Dataset!$A:$A,0),MATCH(F$5,Dataset!$1:$1,0))</f>
        <v>52.3</v>
      </c>
    </row>
    <row r="17" spans="1:6" ht="15" x14ac:dyDescent="0.25">
      <c r="A17" s="7" t="s">
        <v>22</v>
      </c>
      <c r="B17" s="11">
        <f>INDEX(Dataset!$A:$X,MATCH($A17,Dataset!$A:$A,0),MATCH(B$5,Dataset!$1:$1,0))</f>
        <v>30.7</v>
      </c>
      <c r="C17" s="11">
        <f>INDEX(Dataset!$A:$X,MATCH($A17,Dataset!$A:$A,0),MATCH(C$5,Dataset!$1:$1,0))</f>
        <v>92.1</v>
      </c>
      <c r="D17" s="11">
        <f>INDEX(Dataset!$A:$X,MATCH($A17,Dataset!$A:$A,0),MATCH(D$5,Dataset!$1:$1,0))</f>
        <v>57</v>
      </c>
      <c r="E17" s="11">
        <f>INDEX(Dataset!$A:$X,MATCH($A17,Dataset!$A:$A,0),MATCH(E$5,Dataset!$1:$1,0))</f>
        <v>115.1</v>
      </c>
      <c r="F17" s="11">
        <f>INDEX(Dataset!$A:$X,MATCH($A17,Dataset!$A:$A,0),MATCH(F$5,Dataset!$1:$1,0))</f>
        <v>57</v>
      </c>
    </row>
    <row r="18" spans="1:6" ht="15" x14ac:dyDescent="0.25">
      <c r="A18" s="7" t="s">
        <v>23</v>
      </c>
      <c r="B18" s="11">
        <f>INDEX(Dataset!$A:$X,MATCH($A18,Dataset!$A:$A,0),MATCH(B$5,Dataset!$1:$1,0))</f>
        <v>33.799999999999997</v>
      </c>
      <c r="C18" s="11">
        <f>INDEX(Dataset!$A:$X,MATCH($A18,Dataset!$A:$A,0),MATCH(C$5,Dataset!$1:$1,0))</f>
        <v>101.3</v>
      </c>
      <c r="D18" s="11">
        <f>INDEX(Dataset!$A:$X,MATCH($A18,Dataset!$A:$A,0),MATCH(D$5,Dataset!$1:$1,0))</f>
        <v>61.4</v>
      </c>
      <c r="E18" s="11">
        <f>INDEX(Dataset!$A:$X,MATCH($A18,Dataset!$A:$A,0),MATCH(E$5,Dataset!$1:$1,0))</f>
        <v>124.4</v>
      </c>
      <c r="F18" s="11">
        <f>INDEX(Dataset!$A:$X,MATCH($A18,Dataset!$A:$A,0),MATCH(F$5,Dataset!$1:$1,0))</f>
        <v>61.4</v>
      </c>
    </row>
    <row r="19" spans="1:6" ht="15" x14ac:dyDescent="0.25">
      <c r="A19" s="7" t="s">
        <v>24</v>
      </c>
      <c r="B19" s="11">
        <f>INDEX(Dataset!$A:$X,MATCH($A19,Dataset!$A:$A,0),MATCH(B$5,Dataset!$1:$1,0))</f>
        <v>34.700000000000003</v>
      </c>
      <c r="C19" s="11">
        <f>INDEX(Dataset!$A:$X,MATCH($A19,Dataset!$A:$A,0),MATCH(C$5,Dataset!$1:$1,0))</f>
        <v>106.1</v>
      </c>
      <c r="D19" s="11">
        <f>INDEX(Dataset!$A:$X,MATCH($A19,Dataset!$A:$A,0),MATCH(D$5,Dataset!$1:$1,0))</f>
        <v>63.6</v>
      </c>
      <c r="E19" s="11">
        <f>INDEX(Dataset!$A:$X,MATCH($A19,Dataset!$A:$A,0),MATCH(E$5,Dataset!$1:$1,0))</f>
        <v>128.6</v>
      </c>
      <c r="F19" s="11">
        <f>INDEX(Dataset!$A:$X,MATCH($A19,Dataset!$A:$A,0),MATCH(F$5,Dataset!$1:$1,0))</f>
        <v>63.6</v>
      </c>
    </row>
    <row r="20" spans="1:6" ht="15" x14ac:dyDescent="0.25">
      <c r="A20" s="7" t="s">
        <v>28</v>
      </c>
      <c r="B20" s="11">
        <f>INDEX(Dataset!$A:$X,MATCH($A20,Dataset!$A:$A,0),MATCH(B$5,Dataset!$1:$1,0))</f>
        <v>0</v>
      </c>
      <c r="C20" s="11">
        <f>INDEX(Dataset!$A:$X,MATCH($A20,Dataset!$A:$A,0),MATCH(C$5,Dataset!$1:$1,0))</f>
        <v>0</v>
      </c>
      <c r="D20" s="11">
        <f>INDEX(Dataset!$A:$X,MATCH($A20,Dataset!$A:$A,0),MATCH(D$5,Dataset!$1:$1,0))</f>
        <v>0</v>
      </c>
      <c r="E20" s="11">
        <f>INDEX(Dataset!$A:$X,MATCH($A20,Dataset!$A:$A,0),MATCH(E$5,Dataset!$1:$1,0))</f>
        <v>0</v>
      </c>
      <c r="F20" s="11">
        <f>INDEX(Dataset!$A:$X,MATCH($A20,Dataset!$A:$A,0),MATCH(F$5,Dataset!$1:$1,0))</f>
        <v>0</v>
      </c>
    </row>
    <row r="21" spans="1:6" ht="15" x14ac:dyDescent="0.25">
      <c r="A21" s="7" t="s">
        <v>57</v>
      </c>
      <c r="B21" s="11">
        <f>INDEX(Dataset!$A:$X,MATCH($A21,Dataset!$A:$A,0),MATCH(B$5,Dataset!$1:$1,0))</f>
        <v>41.3</v>
      </c>
      <c r="C21" s="11">
        <f>INDEX(Dataset!$A:$X,MATCH($A21,Dataset!$A:$A,0),MATCH(C$5,Dataset!$1:$1,0))</f>
        <v>124.4</v>
      </c>
      <c r="D21" s="11">
        <f>INDEX(Dataset!$A:$X,MATCH($A21,Dataset!$A:$A,0),MATCH(D$5,Dataset!$1:$1,0))</f>
        <v>75</v>
      </c>
      <c r="E21" s="11">
        <f>INDEX(Dataset!$A:$X,MATCH($A21,Dataset!$A:$A,0),MATCH(E$5,Dataset!$1:$1,0))</f>
        <v>151.5</v>
      </c>
      <c r="F21" s="11">
        <f>INDEX(Dataset!$A:$X,MATCH($A21,Dataset!$A:$A,0),MATCH(F$5,Dataset!$1:$1,0))</f>
        <v>75</v>
      </c>
    </row>
    <row r="22" spans="1:6" ht="15" x14ac:dyDescent="0.25">
      <c r="A22" s="7" t="s">
        <v>58</v>
      </c>
      <c r="B22" s="11">
        <f>INDEX(Dataset!$A:$X,MATCH($A22,Dataset!$A:$A,0),MATCH(B$5,Dataset!$1:$1,0))</f>
        <v>-1</v>
      </c>
      <c r="C22" s="11">
        <f>INDEX(Dataset!$A:$X,MATCH($A22,Dataset!$A:$A,0),MATCH(C$5,Dataset!$1:$1,0))</f>
        <v>-1</v>
      </c>
      <c r="D22" s="11">
        <f>INDEX(Dataset!$A:$X,MATCH($A22,Dataset!$A:$A,0),MATCH(D$5,Dataset!$1:$1,0))</f>
        <v>-1</v>
      </c>
      <c r="E22" s="11">
        <f>INDEX(Dataset!$A:$X,MATCH($A22,Dataset!$A:$A,0),MATCH(E$5,Dataset!$1:$1,0))</f>
        <v>-1</v>
      </c>
      <c r="F22" s="11">
        <f>INDEX(Dataset!$A:$X,MATCH($A22,Dataset!$A:$A,0),MATCH(F$5,Dataset!$1:$1,0))</f>
        <v>-1</v>
      </c>
    </row>
    <row r="23" spans="1:6" ht="15" x14ac:dyDescent="0.25">
      <c r="A23" s="7" t="s">
        <v>31</v>
      </c>
      <c r="B23" s="11">
        <f>INDEX(Dataset!$A:$X,MATCH($A23,Dataset!$A:$A,0),MATCH(B$5,Dataset!$1:$1,0))</f>
        <v>45</v>
      </c>
      <c r="C23" s="11">
        <f>INDEX(Dataset!$A:$X,MATCH($A23,Dataset!$A:$A,0),MATCH(C$5,Dataset!$1:$1,0))</f>
        <v>133.4</v>
      </c>
      <c r="D23" s="11">
        <f>INDEX(Dataset!$A:$X,MATCH($A23,Dataset!$A:$A,0),MATCH(D$5,Dataset!$1:$1,0))</f>
        <v>79.400000000000006</v>
      </c>
      <c r="E23" s="11">
        <f>INDEX(Dataset!$A:$X,MATCH($A23,Dataset!$A:$A,0),MATCH(E$5,Dataset!$1:$1,0))</f>
        <v>160.9</v>
      </c>
      <c r="F23" s="11">
        <f>INDEX(Dataset!$A:$X,MATCH($A23,Dataset!$A:$A,0),MATCH(F$5,Dataset!$1:$1,0))</f>
        <v>79.400000000000006</v>
      </c>
    </row>
    <row r="24" spans="1:6" ht="15" x14ac:dyDescent="0.25">
      <c r="A24" s="7" t="s">
        <v>32</v>
      </c>
      <c r="B24" s="11">
        <f>INDEX(Dataset!$A:$X,MATCH($A24,Dataset!$A:$A,0),MATCH(B$5,Dataset!$1:$1,0))</f>
        <v>-1</v>
      </c>
      <c r="C24" s="11">
        <f>INDEX(Dataset!$A:$X,MATCH($A24,Dataset!$A:$A,0),MATCH(C$5,Dataset!$1:$1,0))</f>
        <v>-1</v>
      </c>
      <c r="D24" s="11">
        <f>INDEX(Dataset!$A:$X,MATCH($A24,Dataset!$A:$A,0),MATCH(D$5,Dataset!$1:$1,0))</f>
        <v>-1</v>
      </c>
      <c r="E24" s="11">
        <f>INDEX(Dataset!$A:$X,MATCH($A24,Dataset!$A:$A,0),MATCH(E$5,Dataset!$1:$1,0))</f>
        <v>-1</v>
      </c>
      <c r="F24" s="11">
        <f>INDEX(Dataset!$A:$X,MATCH($A24,Dataset!$A:$A,0),MATCH(F$5,Dataset!$1:$1,0))</f>
        <v>-1</v>
      </c>
    </row>
    <row r="25" spans="1:6" ht="15" x14ac:dyDescent="0.25">
      <c r="A25" s="7" t="s">
        <v>34</v>
      </c>
      <c r="B25" s="11">
        <f>INDEX(Dataset!$A:$X,MATCH($A25,Dataset!$A:$A,0),MATCH(B$5,Dataset!$1:$1,0))</f>
        <v>43.3</v>
      </c>
      <c r="C25" s="11">
        <f>INDEX(Dataset!$A:$X,MATCH($A25,Dataset!$A:$A,0),MATCH(C$5,Dataset!$1:$1,0))</f>
        <v>128.6</v>
      </c>
      <c r="D25" s="11">
        <f>INDEX(Dataset!$A:$X,MATCH($A25,Dataset!$A:$A,0),MATCH(D$5,Dataset!$1:$1,0))</f>
        <v>79.400000000000006</v>
      </c>
      <c r="E25" s="11">
        <f>INDEX(Dataset!$A:$X,MATCH($A25,Dataset!$A:$A,0),MATCH(E$5,Dataset!$1:$1,0))</f>
        <v>160.9</v>
      </c>
      <c r="F25" s="11">
        <f>INDEX(Dataset!$A:$X,MATCH($A25,Dataset!$A:$A,0),MATCH(F$5,Dataset!$1:$1,0))</f>
        <v>79.400000000000006</v>
      </c>
    </row>
    <row r="26" spans="1:6" ht="15" x14ac:dyDescent="0.25">
      <c r="A26" s="7" t="s">
        <v>37</v>
      </c>
      <c r="B26" s="11">
        <f>INDEX(Dataset!$A:$X,MATCH($A26,Dataset!$A:$A,0),MATCH(B$5,Dataset!$1:$1,0))</f>
        <v>49.1</v>
      </c>
      <c r="C26" s="11">
        <f>INDEX(Dataset!$A:$X,MATCH($A26,Dataset!$A:$A,0),MATCH(C$5,Dataset!$1:$1,0))</f>
        <v>146.80000000000001</v>
      </c>
      <c r="D26" s="11">
        <f>INDEX(Dataset!$A:$X,MATCH($A26,Dataset!$A:$A,0),MATCH(D$5,Dataset!$1:$1,0))</f>
        <v>90.9</v>
      </c>
      <c r="E26" s="11">
        <f>INDEX(Dataset!$A:$X,MATCH($A26,Dataset!$A:$A,0),MATCH(E$5,Dataset!$1:$1,0))</f>
        <v>183.5</v>
      </c>
      <c r="F26" s="11">
        <f>INDEX(Dataset!$A:$X,MATCH($A26,Dataset!$A:$A,0),MATCH(F$5,Dataset!$1:$1,0))</f>
        <v>90.9</v>
      </c>
    </row>
    <row r="27" spans="1:6" ht="15" x14ac:dyDescent="0.25">
      <c r="A27" s="7" t="s">
        <v>39</v>
      </c>
      <c r="B27" s="11">
        <f>INDEX(Dataset!$A:$X,MATCH($A27,Dataset!$A:$A,0),MATCH(B$5,Dataset!$1:$1,0))</f>
        <v>51.8</v>
      </c>
      <c r="C27" s="11">
        <f>INDEX(Dataset!$A:$X,MATCH($A27,Dataset!$A:$A,0),MATCH(C$5,Dataset!$1:$1,0))</f>
        <v>156.4</v>
      </c>
      <c r="D27" s="11">
        <f>INDEX(Dataset!$A:$X,MATCH($A27,Dataset!$A:$A,0),MATCH(D$5,Dataset!$1:$1,0))</f>
        <v>93.1</v>
      </c>
      <c r="E27" s="11">
        <f>INDEX(Dataset!$A:$X,MATCH($A27,Dataset!$A:$A,0),MATCH(E$5,Dataset!$1:$1,0))</f>
        <v>188.1</v>
      </c>
      <c r="F27" s="11">
        <f>INDEX(Dataset!$A:$X,MATCH($A27,Dataset!$A:$A,0),MATCH(F$5,Dataset!$1:$1,0))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47">
        <f>AVERAGE(B6:B27)</f>
        <v>20.827272727272728</v>
      </c>
      <c r="C30" s="47">
        <f t="shared" ref="C30:F30" si="2">AVERAGE(C6:C27)</f>
        <v>62.377272727272725</v>
      </c>
      <c r="D30" s="47">
        <f t="shared" si="2"/>
        <v>37.800000000000004</v>
      </c>
      <c r="E30" s="47">
        <f t="shared" si="2"/>
        <v>76.418181818181822</v>
      </c>
      <c r="F30" s="47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2" t="s">
        <v>53</v>
      </c>
      <c r="B5" s="39" t="s">
        <v>180</v>
      </c>
    </row>
    <row r="6" spans="1:10" ht="18.75" x14ac:dyDescent="0.3">
      <c r="A6" s="42" t="s">
        <v>152</v>
      </c>
      <c r="B6" s="39" t="s">
        <v>181</v>
      </c>
    </row>
    <row r="7" spans="1:10" ht="18.75" x14ac:dyDescent="0.3">
      <c r="A7" s="42"/>
      <c r="B7" s="39"/>
    </row>
    <row r="9" spans="1:10" ht="23.25" x14ac:dyDescent="0.35">
      <c r="A9" s="17" t="s">
        <v>164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161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P25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6" ht="21" x14ac:dyDescent="0.35">
      <c r="A1" s="41" t="s">
        <v>85</v>
      </c>
      <c r="B1" s="40" t="s">
        <v>166</v>
      </c>
    </row>
    <row r="2" spans="1:16" ht="18.75" x14ac:dyDescent="0.3">
      <c r="B2" s="39" t="s">
        <v>165</v>
      </c>
    </row>
    <row r="5" spans="1:16" ht="15" x14ac:dyDescent="0.25">
      <c r="B5" s="1" t="s">
        <v>150</v>
      </c>
    </row>
    <row r="6" spans="1:16" ht="15" x14ac:dyDescent="0.25">
      <c r="A6" s="3" t="s">
        <v>53</v>
      </c>
      <c r="B6" s="51" t="s">
        <v>182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16" ht="15" x14ac:dyDescent="0.25">
      <c r="A7" s="3" t="s">
        <v>152</v>
      </c>
      <c r="B7" s="1" t="s">
        <v>183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ht="15" x14ac:dyDescent="0.2">
      <c r="B8" s="48"/>
    </row>
    <row r="10" spans="1:16" ht="23.25" x14ac:dyDescent="0.35">
      <c r="A10" s="17" t="s">
        <v>161</v>
      </c>
    </row>
    <row r="11" spans="1:16" ht="15" x14ac:dyDescent="0.25">
      <c r="A11" s="31" t="s">
        <v>86</v>
      </c>
      <c r="B11" s="16" t="s">
        <v>87</v>
      </c>
      <c r="C11" s="16" t="s">
        <v>88</v>
      </c>
    </row>
    <row r="12" spans="1:16" ht="15" x14ac:dyDescent="0.25">
      <c r="A12" s="31">
        <v>44927</v>
      </c>
      <c r="B12" s="16" t="s">
        <v>59</v>
      </c>
      <c r="C12" s="16">
        <v>200</v>
      </c>
    </row>
    <row r="13" spans="1:16" ht="15" x14ac:dyDescent="0.25">
      <c r="A13" s="31">
        <v>44928</v>
      </c>
      <c r="B13" s="16" t="s">
        <v>60</v>
      </c>
      <c r="C13" s="16" t="e">
        <v>#N/A</v>
      </c>
    </row>
    <row r="14" spans="1:16" ht="15" x14ac:dyDescent="0.25">
      <c r="A14" s="31">
        <v>44929</v>
      </c>
      <c r="B14" s="16" t="s">
        <v>61</v>
      </c>
      <c r="C14" s="16">
        <v>50</v>
      </c>
    </row>
    <row r="15" spans="1:16" ht="15" x14ac:dyDescent="0.25">
      <c r="A15" s="31">
        <v>44930</v>
      </c>
      <c r="B15" s="16" t="s">
        <v>62</v>
      </c>
      <c r="C15" s="16" t="e">
        <v>#N/A</v>
      </c>
    </row>
    <row r="16" spans="1:16" ht="15" x14ac:dyDescent="0.25">
      <c r="A16" s="31">
        <v>44931</v>
      </c>
      <c r="B16" s="16" t="s">
        <v>63</v>
      </c>
      <c r="C16" s="16">
        <v>10</v>
      </c>
    </row>
    <row r="17" spans="1:9" ht="15" x14ac:dyDescent="0.25">
      <c r="A17" s="31">
        <v>44932</v>
      </c>
      <c r="B17" s="16" t="s">
        <v>153</v>
      </c>
      <c r="C17" s="16">
        <v>150</v>
      </c>
    </row>
    <row r="18" spans="1:9" ht="15" x14ac:dyDescent="0.25">
      <c r="A18" s="31">
        <v>44933</v>
      </c>
      <c r="B18" s="16" t="s">
        <v>154</v>
      </c>
      <c r="C18" s="16">
        <v>80</v>
      </c>
    </row>
    <row r="19" spans="1:9" ht="15" x14ac:dyDescent="0.25">
      <c r="A19" s="31">
        <v>44934</v>
      </c>
      <c r="B19" s="16" t="s">
        <v>155</v>
      </c>
      <c r="C19" s="16" t="e">
        <v>#N/A</v>
      </c>
    </row>
    <row r="20" spans="1:9" ht="15" x14ac:dyDescent="0.25">
      <c r="A20" s="31">
        <v>44935</v>
      </c>
      <c r="B20" s="16" t="s">
        <v>156</v>
      </c>
      <c r="C20" s="16">
        <v>30</v>
      </c>
    </row>
    <row r="21" spans="1:9" ht="15" x14ac:dyDescent="0.25">
      <c r="A21" s="31">
        <v>44936</v>
      </c>
      <c r="B21" s="16" t="s">
        <v>157</v>
      </c>
      <c r="C21" s="16" t="e">
        <v>#N/A</v>
      </c>
    </row>
    <row r="22" spans="1:9" ht="15" x14ac:dyDescent="0.25">
      <c r="B22" s="16" t="s">
        <v>158</v>
      </c>
      <c r="C22" s="24" cm="1">
        <f t="array" ref="C22">SUM(IFERROR(C12:C21,20))</f>
        <v>600</v>
      </c>
    </row>
    <row r="25" spans="1:9" ht="15" x14ac:dyDescent="0.25">
      <c r="I25" s="1"/>
    </row>
  </sheetData>
  <mergeCells count="1">
    <mergeCell ref="B6:M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174</v>
      </c>
    </row>
    <row r="3" spans="1:14" ht="15" x14ac:dyDescent="0.25">
      <c r="B3" s="1" t="s">
        <v>150</v>
      </c>
    </row>
    <row r="4" spans="1:14" ht="18.75" x14ac:dyDescent="0.3">
      <c r="A4" s="42" t="s">
        <v>53</v>
      </c>
      <c r="B4" s="1"/>
      <c r="C4" s="2" t="s">
        <v>184</v>
      </c>
    </row>
    <row r="5" spans="1:14" ht="18.75" x14ac:dyDescent="0.3">
      <c r="A5" s="42" t="s">
        <v>152</v>
      </c>
      <c r="B5" s="1"/>
      <c r="C5" s="1" t="s">
        <v>185</v>
      </c>
    </row>
    <row r="6" spans="1:14" ht="15" x14ac:dyDescent="0.25">
      <c r="A6" s="3"/>
      <c r="B6" s="1"/>
    </row>
    <row r="8" spans="1:14" ht="23.25" x14ac:dyDescent="0.35">
      <c r="A8" s="17" t="s">
        <v>161</v>
      </c>
      <c r="M8" s="17" t="s">
        <v>162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167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>
        <f>INDEX($B$10:$J$18,MATCH(VLOOKUP(A23,$M$9:$N$18,2,0),$A$10:$A$18,0),MATCH(VLOOKUP(B23,$M$9:$N$18,2,0),$B$9:$J$9,0))</f>
        <v>95</v>
      </c>
    </row>
    <row r="24" spans="1:14" ht="15" x14ac:dyDescent="0.25">
      <c r="A24" s="7">
        <v>10100</v>
      </c>
      <c r="B24" s="11">
        <v>10104</v>
      </c>
      <c r="C24" s="43">
        <f t="shared" ref="C24:C35" si="0">INDEX($B$10:$J$18,MATCH(VLOOKUP(A24,$M$9:$N$18,2,0),$A$10:$A$18,0),MATCH(VLOOKUP(B24,$M$9:$N$18,2,0),$B$9:$J$9,0))</f>
        <v>-1</v>
      </c>
    </row>
    <row r="25" spans="1:14" ht="15" x14ac:dyDescent="0.25">
      <c r="A25" s="7">
        <v>10108</v>
      </c>
      <c r="B25" s="11">
        <v>10102</v>
      </c>
      <c r="C25" s="43">
        <f t="shared" si="0"/>
        <v>160</v>
      </c>
    </row>
    <row r="26" spans="1:14" ht="15" x14ac:dyDescent="0.25">
      <c r="A26" s="7">
        <v>10100</v>
      </c>
      <c r="B26" s="11">
        <v>10106</v>
      </c>
      <c r="C26" s="43">
        <f t="shared" si="0"/>
        <v>185</v>
      </c>
    </row>
    <row r="27" spans="1:14" ht="15" x14ac:dyDescent="0.25">
      <c r="A27" s="7">
        <v>10108</v>
      </c>
      <c r="B27" s="11">
        <v>10110</v>
      </c>
      <c r="C27" s="43">
        <f t="shared" si="0"/>
        <v>50</v>
      </c>
    </row>
    <row r="28" spans="1:14" ht="15" x14ac:dyDescent="0.25">
      <c r="A28" s="7">
        <v>10102</v>
      </c>
      <c r="B28" s="11">
        <v>10104</v>
      </c>
      <c r="C28" s="43">
        <f t="shared" si="0"/>
        <v>-1</v>
      </c>
    </row>
    <row r="29" spans="1:14" ht="15" x14ac:dyDescent="0.25">
      <c r="A29" s="7">
        <v>10106</v>
      </c>
      <c r="B29" s="11">
        <v>10108</v>
      </c>
      <c r="C29" s="43">
        <f t="shared" si="0"/>
        <v>70</v>
      </c>
    </row>
    <row r="30" spans="1:14" ht="15" x14ac:dyDescent="0.25">
      <c r="A30" s="7">
        <v>10102</v>
      </c>
      <c r="B30" s="11">
        <v>10106</v>
      </c>
      <c r="C30" s="43">
        <f t="shared" si="0"/>
        <v>90</v>
      </c>
    </row>
    <row r="31" spans="1:14" ht="15" x14ac:dyDescent="0.25">
      <c r="A31" s="7">
        <v>10110</v>
      </c>
      <c r="B31" s="11">
        <v>10114</v>
      </c>
      <c r="C31" s="43">
        <f t="shared" si="0"/>
        <v>180</v>
      </c>
    </row>
    <row r="32" spans="1:14" ht="15" x14ac:dyDescent="0.25">
      <c r="A32" s="7">
        <v>10104</v>
      </c>
      <c r="B32" s="11">
        <v>10106</v>
      </c>
      <c r="C32" s="43">
        <f t="shared" si="0"/>
        <v>60</v>
      </c>
    </row>
    <row r="33" spans="1:3" ht="15" x14ac:dyDescent="0.25">
      <c r="A33" s="7">
        <v>10110</v>
      </c>
      <c r="B33" s="11">
        <v>10112</v>
      </c>
      <c r="C33" s="43">
        <f t="shared" si="0"/>
        <v>115</v>
      </c>
    </row>
    <row r="34" spans="1:3" ht="15" x14ac:dyDescent="0.25">
      <c r="A34" s="7">
        <v>10100</v>
      </c>
      <c r="B34" s="11">
        <v>10114</v>
      </c>
      <c r="C34" s="43">
        <f t="shared" si="0"/>
        <v>480</v>
      </c>
    </row>
    <row r="35" spans="1:3" ht="15" x14ac:dyDescent="0.25">
      <c r="A35" s="8">
        <v>10112</v>
      </c>
      <c r="B35" s="12">
        <v>10116</v>
      </c>
      <c r="C35" s="49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pc</cp:lastModifiedBy>
  <dcterms:created xsi:type="dcterms:W3CDTF">2015-02-10T17:33:11Z</dcterms:created>
  <dcterms:modified xsi:type="dcterms:W3CDTF">2024-10-24T10:44:53Z</dcterms:modified>
</cp:coreProperties>
</file>